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07\EXCELCNV\13f17b83-e31e-4a94-a848-1df7e0242258\"/>
    </mc:Choice>
  </mc:AlternateContent>
  <xr:revisionPtr revIDLastSave="0" documentId="8_{2D605534-B79A-4200-9087-05A0BB2EBB9E}" xr6:coauthVersionLast="47" xr6:coauthVersionMax="47" xr10:uidLastSave="{00000000-0000-0000-0000-000000000000}"/>
  <bookViews>
    <workbookView xWindow="-60" yWindow="-60" windowWidth="15480" windowHeight="11640" xr2:uid="{DD86FFB1-C36E-4BAF-BFD1-46A513566CE1}"/>
  </bookViews>
  <sheets>
    <sheet name="Sayfa1" sheetId="2" r:id="rId1"/>
    <sheet name="in" sheetId="1" r:id="rId2"/>
  </sheets>
  <definedNames>
    <definedName name="_xlnm._FilterDatabase" localSheetId="1" hidden="1">in!$F$1:$G$14</definedName>
    <definedName name="Dilimleyici_kredi_turu">#N/A</definedName>
    <definedName name="Dilimleyici_sehir">#N/A</definedName>
  </definedNames>
  <calcPr calcId="191028"/>
  <pivotCaches>
    <pivotCache cacheId="5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2" l="1"/>
  <c r="V8" i="2"/>
</calcChain>
</file>

<file path=xl/sharedStrings.xml><?xml version="1.0" encoding="utf-8"?>
<sst xmlns="http://schemas.openxmlformats.org/spreadsheetml/2006/main" count="91" uniqueCount="39">
  <si>
    <t>Toplam Tahsilat</t>
  </si>
  <si>
    <t>risk_grubu</t>
  </si>
  <si>
    <t>Toplam taksit_tutari</t>
  </si>
  <si>
    <t>Hafif Gecikme</t>
  </si>
  <si>
    <t>Normal</t>
  </si>
  <si>
    <t>Temerrut / Batik</t>
  </si>
  <si>
    <t>Genel Toplam</t>
  </si>
  <si>
    <t>meslek_grubu</t>
  </si>
  <si>
    <t>Esnaf</t>
  </si>
  <si>
    <t>Isci</t>
  </si>
  <si>
    <t>Memur</t>
  </si>
  <si>
    <t>Ozel Sektor</t>
  </si>
  <si>
    <t>Serbest Meslek</t>
  </si>
  <si>
    <t>Riskli / Batık Tutar</t>
  </si>
  <si>
    <t>musteri_id</t>
  </si>
  <si>
    <t>ad_soyad</t>
  </si>
  <si>
    <t>sehir</t>
  </si>
  <si>
    <t>kredi_turu</t>
  </si>
  <si>
    <t>kredi_tutari</t>
  </si>
  <si>
    <t>taksit_tutari</t>
  </si>
  <si>
    <t>gecikme_gun_sayisi</t>
  </si>
  <si>
    <t>Ahmet Yilmaz</t>
  </si>
  <si>
    <t>Istanbul</t>
  </si>
  <si>
    <t>Konut Kredisi</t>
  </si>
  <si>
    <t>Ayse Demir</t>
  </si>
  <si>
    <t>Ankara</t>
  </si>
  <si>
    <t>Ihtiyac Kredisi</t>
  </si>
  <si>
    <t>Mehmet Kaya</t>
  </si>
  <si>
    <t>Izmir</t>
  </si>
  <si>
    <t>Fatma Celik</t>
  </si>
  <si>
    <t>Bursa</t>
  </si>
  <si>
    <t>Tasit Kredisi</t>
  </si>
  <si>
    <t>Caner Erkin</t>
  </si>
  <si>
    <t>Antalya</t>
  </si>
  <si>
    <t>Ticari Kredi</t>
  </si>
  <si>
    <t>Burak Sahin</t>
  </si>
  <si>
    <t>Adana</t>
  </si>
  <si>
    <t>Elif Koc</t>
  </si>
  <si>
    <t>Eskisehir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</si>
</sst>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applyNumberFormat="1"/>
    <xf numFmtId="0" fontId="0" fillId="0" borderId="0" xfId="0" pivotButton="1"/>
    <xf numFmtId="0" fontId="18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[2..xlsx]Sayfa1!PivotTable3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Sayfa1!$B$3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Sayfa1!$A$4:$A$7</c:f>
              <c:strCache>
                <c:ptCount val="3"/>
                <c:pt idx="0">
                  <c:v>Hafif Gecikme</c:v>
                </c:pt>
                <c:pt idx="1">
                  <c:v>Normal</c:v>
                </c:pt>
                <c:pt idx="2">
                  <c:v>Temerrut / Batik</c:v>
                </c:pt>
              </c:strCache>
            </c:strRef>
          </c:cat>
          <c:val>
            <c:numRef>
              <c:f>Sayfa1!$B$4:$B$7</c:f>
              <c:numCache>
                <c:formatCode>General</c:formatCode>
                <c:ptCount val="3"/>
                <c:pt idx="0">
                  <c:v>40582</c:v>
                </c:pt>
                <c:pt idx="1">
                  <c:v>103416</c:v>
                </c:pt>
                <c:pt idx="2">
                  <c:v>34750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04B-ACE2-DA3071A1D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[2..xlsx]Sayfa1!PivotTable4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Sayfa1!$Q$13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Sayfa1!$P$14:$P$19</c:f>
              <c:strCache>
                <c:ptCount val="5"/>
                <c:pt idx="0">
                  <c:v>Esnaf</c:v>
                </c:pt>
                <c:pt idx="1">
                  <c:v>Isci</c:v>
                </c:pt>
                <c:pt idx="2">
                  <c:v>Memur</c:v>
                </c:pt>
                <c:pt idx="3">
                  <c:v>Ozel Sektor</c:v>
                </c:pt>
                <c:pt idx="4">
                  <c:v>Serbest Meslek</c:v>
                </c:pt>
              </c:strCache>
            </c:strRef>
          </c:cat>
          <c:val>
            <c:numRef>
              <c:f>Sayfa1!$Q$14:$Q$19</c:f>
              <c:numCache>
                <c:formatCode>General</c:formatCode>
                <c:ptCount val="5"/>
                <c:pt idx="0">
                  <c:v>62500</c:v>
                </c:pt>
                <c:pt idx="1">
                  <c:v>7000</c:v>
                </c:pt>
                <c:pt idx="2">
                  <c:v>22750</c:v>
                </c:pt>
                <c:pt idx="3">
                  <c:v>77166</c:v>
                </c:pt>
                <c:pt idx="4">
                  <c:v>9332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A-46C4-AF85-310F258EF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89383"/>
        <c:axId val="112488455"/>
      </c:barChart>
      <c:catAx>
        <c:axId val="11158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8455"/>
        <c:crosses val="autoZero"/>
        <c:auto val="1"/>
        <c:lblAlgn val="ctr"/>
        <c:lblOffset val="100"/>
        <c:noMultiLvlLbl val="0"/>
      </c:catAx>
      <c:valAx>
        <c:axId val="11248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38100</xdr:rowOff>
    </xdr:from>
    <xdr:to>
      <xdr:col>11</xdr:col>
      <xdr:colOff>133350</xdr:colOff>
      <xdr:row>15</xdr:row>
      <xdr:rowOff>114300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836EAA2E-B09D-3C0D-0D34-ACD1FFFDD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781050</xdr:colOff>
      <xdr:row>31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hir">
              <a:extLst>
                <a:ext uri="{FF2B5EF4-FFF2-40B4-BE49-F238E27FC236}">
                  <a16:creationId xmlns:a16="http://schemas.microsoft.com/office/drawing/2014/main" id="{5E0CEA7C-D8A8-34BC-C2CF-59B17B6967D1}"/>
                </a:ext>
                <a:ext uri="{147F2762-F138-4A5C-976F-8EAC2B608ADB}">
                  <a16:predDERef xmlns:a16="http://schemas.microsoft.com/office/drawing/2014/main" pred="{836EAA2E-B09D-3C0D-0D34-ACD1FFFDD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hi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337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771525</xdr:colOff>
      <xdr:row>17</xdr:row>
      <xdr:rowOff>180975</xdr:rowOff>
    </xdr:from>
    <xdr:to>
      <xdr:col>4</xdr:col>
      <xdr:colOff>76200</xdr:colOff>
      <xdr:row>31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kredi_turu">
              <a:extLst>
                <a:ext uri="{FF2B5EF4-FFF2-40B4-BE49-F238E27FC236}">
                  <a16:creationId xmlns:a16="http://schemas.microsoft.com/office/drawing/2014/main" id="{EC61DF00-1808-B104-1305-7DDF20ACD44C}"/>
                </a:ext>
                <a:ext uri="{147F2762-F138-4A5C-976F-8EAC2B608ADB}">
                  <a16:predDERef xmlns:a16="http://schemas.microsoft.com/office/drawing/2014/main" pred="{5E0CEA7C-D8A8-34BC-C2CF-59B17B6967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redi_turu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9275" y="3524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219075</xdr:colOff>
      <xdr:row>16</xdr:row>
      <xdr:rowOff>95250</xdr:rowOff>
    </xdr:from>
    <xdr:to>
      <xdr:col>11</xdr:col>
      <xdr:colOff>523875</xdr:colOff>
      <xdr:row>30</xdr:row>
      <xdr:rowOff>171450</xdr:rowOff>
    </xdr:to>
    <xdr:graphicFrame macro="">
      <xdr:nvGraphicFramePr>
        <xdr:cNvPr id="5" name="Çizelge 4">
          <a:extLst>
            <a:ext uri="{FF2B5EF4-FFF2-40B4-BE49-F238E27FC236}">
              <a16:creationId xmlns:a16="http://schemas.microsoft.com/office/drawing/2014/main" id="{3AE41C1C-6AE4-DB5C-0E68-6E15EABFEF58}"/>
            </a:ext>
            <a:ext uri="{147F2762-F138-4A5C-976F-8EAC2B608ADB}">
              <a16:predDERef xmlns:a16="http://schemas.microsoft.com/office/drawing/2014/main" pred="{EC61DF00-1808-B104-1305-7DDF20ACD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4.07507337963" createdVersion="8" refreshedVersion="8" minRefreshableVersion="3" recordCount="13" xr:uid="{F45CCDFE-7A4A-460B-9CA1-0E5B50B78EE5}">
  <cacheSource type="worksheet">
    <worksheetSource ref="A1:I14" sheet="in"/>
  </cacheSource>
  <cacheFields count="9">
    <cacheField name="musteri_id" numFmtId="0">
      <sharedItems containsSemiMixedTypes="0" containsString="0" containsNumber="1" containsInteger="1" minValue="1" maxValue="8"/>
    </cacheField>
    <cacheField name="ad_soyad" numFmtId="0">
      <sharedItems/>
    </cacheField>
    <cacheField name="sehir" numFmtId="0">
      <sharedItems count="7">
        <s v="Istanbul"/>
        <s v="Ankara"/>
        <s v="Izmir"/>
        <s v="Bursa"/>
        <s v="Antalya"/>
        <s v="Adana"/>
        <s v="Eskisehir"/>
      </sharedItems>
    </cacheField>
    <cacheField name="meslek_grubu" numFmtId="0">
      <sharedItems count="5">
        <s v="Ozel Sektor"/>
        <s v="Memur"/>
        <s v="Serbest Meslek"/>
        <s v="Esnaf"/>
        <s v="Isci"/>
      </sharedItems>
    </cacheField>
    <cacheField name="kredi_turu" numFmtId="0">
      <sharedItems count="4">
        <s v="Konut Kredisi"/>
        <s v="Ihtiyac Kredisi"/>
        <s v="Tasit Kredisi"/>
        <s v="Ticari Kredi"/>
      </sharedItems>
    </cacheField>
    <cacheField name="kredi_tutari" numFmtId="0">
      <sharedItems containsSemiMixedTypes="0" containsString="0" containsNumber="1" containsInteger="1" minValue="30000" maxValue="800000"/>
    </cacheField>
    <cacheField name="taksit_tutari" numFmtId="0">
      <sharedItems containsSemiMixedTypes="0" containsString="0" containsNumber="1" containsInteger="1" minValue="3500" maxValue="31250"/>
    </cacheField>
    <cacheField name="gecikme_gun_sayisi" numFmtId="0">
      <sharedItems containsSemiMixedTypes="0" containsString="0" containsNumber="1" containsInteger="1" minValue="0" maxValue="110"/>
    </cacheField>
    <cacheField name="risk_grubu" numFmtId="0">
      <sharedItems count="3">
        <s v="Normal"/>
        <s v="Hafif Gecikme"/>
        <s v="Temerrut / Batik"/>
      </sharedItems>
    </cacheField>
  </cacheFields>
  <extLst>
    <ext xmlns:x14="http://schemas.microsoft.com/office/spreadsheetml/2009/9/main" uri="{725AE2AE-9491-48be-B2B4-4EB974FC3084}">
      <x14:pivotCacheDefinition pivotCacheId="19937794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s v="Ahmet Yilmaz"/>
    <x v="0"/>
    <x v="0"/>
    <x v="0"/>
    <n v="800000"/>
    <n v="24000"/>
    <n v="0"/>
    <x v="0"/>
  </r>
  <r>
    <n v="1"/>
    <s v="Ahmet Yilmaz"/>
    <x v="0"/>
    <x v="0"/>
    <x v="0"/>
    <n v="800000"/>
    <n v="24000"/>
    <n v="0"/>
    <x v="0"/>
  </r>
  <r>
    <n v="2"/>
    <s v="Ayse Demir"/>
    <x v="1"/>
    <x v="1"/>
    <x v="1"/>
    <n v="60000"/>
    <n v="7000"/>
    <n v="0"/>
    <x v="0"/>
  </r>
  <r>
    <n v="2"/>
    <s v="Ayse Demir"/>
    <x v="1"/>
    <x v="1"/>
    <x v="1"/>
    <n v="60000"/>
    <n v="7000"/>
    <n v="0"/>
    <x v="0"/>
  </r>
  <r>
    <n v="3"/>
    <s v="Mehmet Kaya"/>
    <x v="2"/>
    <x v="2"/>
    <x v="1"/>
    <n v="40000"/>
    <n v="4666"/>
    <n v="8"/>
    <x v="1"/>
  </r>
  <r>
    <n v="3"/>
    <s v="Mehmet Kaya"/>
    <x v="2"/>
    <x v="2"/>
    <x v="1"/>
    <n v="40000"/>
    <n v="4666"/>
    <n v="15"/>
    <x v="1"/>
  </r>
  <r>
    <n v="4"/>
    <s v="Fatma Celik"/>
    <x v="3"/>
    <x v="0"/>
    <x v="2"/>
    <n v="350000"/>
    <n v="14583"/>
    <n v="0"/>
    <x v="0"/>
  </r>
  <r>
    <n v="4"/>
    <s v="Fatma Celik"/>
    <x v="3"/>
    <x v="0"/>
    <x v="2"/>
    <n v="350000"/>
    <n v="14583"/>
    <n v="0"/>
    <x v="0"/>
  </r>
  <r>
    <n v="5"/>
    <s v="Caner Erkin"/>
    <x v="4"/>
    <x v="3"/>
    <x v="3"/>
    <n v="500000"/>
    <n v="31250"/>
    <n v="5"/>
    <x v="1"/>
  </r>
  <r>
    <n v="5"/>
    <s v="Caner Erkin"/>
    <x v="4"/>
    <x v="3"/>
    <x v="3"/>
    <n v="500000"/>
    <n v="31250"/>
    <n v="95"/>
    <x v="2"/>
  </r>
  <r>
    <n v="7"/>
    <s v="Burak Sahin"/>
    <x v="5"/>
    <x v="4"/>
    <x v="1"/>
    <n v="30000"/>
    <n v="3500"/>
    <n v="0"/>
    <x v="0"/>
  </r>
  <r>
    <n v="7"/>
    <s v="Burak Sahin"/>
    <x v="5"/>
    <x v="4"/>
    <x v="1"/>
    <n v="30000"/>
    <n v="3500"/>
    <n v="110"/>
    <x v="2"/>
  </r>
  <r>
    <n v="8"/>
    <s v="Elif Koc"/>
    <x v="6"/>
    <x v="1"/>
    <x v="1"/>
    <n v="75000"/>
    <n v="875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EF217-F4C7-45C9-9BC4-110DC8093B54}" name="PivotTable4" cacheId="5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1">
  <location ref="P13:Q19" firstHeaderRow="1" firstDataRow="1" firstDataCol="1"/>
  <pivotFields count="9">
    <pivotField compact="0" outline="0" showAll="0"/>
    <pivotField compact="0" outline="0" showAll="0"/>
    <pivotField compact="0" outline="0" showAll="0">
      <items count="8">
        <item x="5"/>
        <item x="1"/>
        <item x="4"/>
        <item x="3"/>
        <item x="6"/>
        <item x="0"/>
        <item x="2"/>
        <item t="default"/>
      </items>
    </pivotField>
    <pivotField axis="axisRow" compact="0" outline="0" showAll="0">
      <items count="6">
        <item x="3"/>
        <item x="4"/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plam taksit_tutari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EED28-1A16-401C-B58F-5629F0EDFE98}" name="PivotTable3" cacheId="5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9">
    <pivotField compact="0" outline="0" showAll="0"/>
    <pivotField compact="0" outline="0" showAll="0"/>
    <pivotField compact="0" outline="0" showAll="0">
      <items count="8">
        <item x="5"/>
        <item x="1"/>
        <item x="4"/>
        <item x="3"/>
        <item x="6"/>
        <item x="0"/>
        <item x="2"/>
        <item t="default"/>
      </items>
    </pivotField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taksit_tutari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sehir" xr10:uid="{D15B5456-1BDA-4615-9753-6316AD90BF33}" sourceName="sehir">
  <pivotTables>
    <pivotTable tabId="2" name="PivotTable3"/>
    <pivotTable tabId="2" name="PivotTable4"/>
  </pivotTables>
  <data>
    <tabular pivotCacheId="1993779418">
      <items count="7">
        <i x="5" s="1"/>
        <i x="1" s="1"/>
        <i x="4" s="1"/>
        <i x="3" s="1"/>
        <i x="6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redi_turu" xr10:uid="{0AD1C169-6437-4C7A-9F62-943A254EE1FB}" sourceName="kredi_turu">
  <pivotTables>
    <pivotTable tabId="2" name="PivotTable3"/>
  </pivotTables>
  <data>
    <tabular pivotCacheId="1993779418">
      <items count="4"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hir" xr10:uid="{53ED9541-C1FA-43C6-B820-6E1E65A53244}" cache="Dilimleyici_sehir" caption="sehir" rowHeight="228600"/>
  <slicer name="kredi_turu" xr10:uid="{12EC03DE-3B67-4480-BAB7-7E255250AFBD}" cache="Dilimleyici_kredi_turu" caption="kredi_turu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B856-3816-432D-842E-7985365D892D}">
  <dimension ref="A2:V20"/>
  <sheetViews>
    <sheetView showGridLines="0" tabSelected="1" workbookViewId="0">
      <selection activeCell="Q13" sqref="Q13"/>
    </sheetView>
  </sheetViews>
  <sheetFormatPr defaultRowHeight="15"/>
  <cols>
    <col min="1" max="1" width="15.7109375" bestFit="1" customWidth="1"/>
    <col min="2" max="2" width="19.5703125" bestFit="1" customWidth="1"/>
    <col min="16" max="16" width="17" bestFit="1" customWidth="1"/>
    <col min="17" max="17" width="19.5703125" bestFit="1" customWidth="1"/>
    <col min="22" max="22" width="10.140625" bestFit="1" customWidth="1"/>
  </cols>
  <sheetData>
    <row r="2" spans="1:22">
      <c r="A2" t="s">
        <v>0</v>
      </c>
    </row>
    <row r="3" spans="1:22">
      <c r="A3" s="7" t="s">
        <v>1</v>
      </c>
      <c r="B3" t="s">
        <v>2</v>
      </c>
    </row>
    <row r="4" spans="1:22">
      <c r="A4" t="s">
        <v>3</v>
      </c>
      <c r="B4" s="6">
        <v>40582</v>
      </c>
    </row>
    <row r="5" spans="1:22">
      <c r="A5" t="s">
        <v>4</v>
      </c>
      <c r="B5" s="6">
        <v>103416</v>
      </c>
    </row>
    <row r="6" spans="1:22">
      <c r="A6" t="s">
        <v>5</v>
      </c>
      <c r="B6" s="6">
        <v>34750</v>
      </c>
    </row>
    <row r="7" spans="1:22">
      <c r="A7" t="s">
        <v>6</v>
      </c>
      <c r="B7" s="6">
        <v>178748</v>
      </c>
      <c r="V7" t="s">
        <v>0</v>
      </c>
    </row>
    <row r="8" spans="1:22" ht="23.25">
      <c r="V8" s="8">
        <f>B5</f>
        <v>103416</v>
      </c>
    </row>
    <row r="13" spans="1:22">
      <c r="P13" s="7" t="s">
        <v>7</v>
      </c>
      <c r="Q13" t="s">
        <v>2</v>
      </c>
    </row>
    <row r="14" spans="1:22">
      <c r="P14" t="s">
        <v>8</v>
      </c>
      <c r="Q14" s="6">
        <v>62500</v>
      </c>
    </row>
    <row r="15" spans="1:22">
      <c r="P15" t="s">
        <v>9</v>
      </c>
      <c r="Q15" s="6">
        <v>7000</v>
      </c>
    </row>
    <row r="16" spans="1:22">
      <c r="P16" t="s">
        <v>10</v>
      </c>
      <c r="Q16" s="6">
        <v>22750</v>
      </c>
    </row>
    <row r="17" spans="16:22">
      <c r="P17" t="s">
        <v>11</v>
      </c>
      <c r="Q17" s="6">
        <v>77166</v>
      </c>
    </row>
    <row r="18" spans="16:22">
      <c r="P18" t="s">
        <v>12</v>
      </c>
      <c r="Q18" s="6">
        <v>9332</v>
      </c>
    </row>
    <row r="19" spans="16:22">
      <c r="P19" t="s">
        <v>6</v>
      </c>
      <c r="Q19" s="6">
        <v>178748</v>
      </c>
      <c r="V19" t="s">
        <v>13</v>
      </c>
    </row>
    <row r="20" spans="16:22" ht="23.25">
      <c r="V20" s="8">
        <f>B6</f>
        <v>34750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78EC-5E51-4076-B283-2F9062A15992}">
  <dimension ref="A1:I14"/>
  <sheetViews>
    <sheetView workbookViewId="0">
      <selection sqref="A1:I14"/>
    </sheetView>
  </sheetViews>
  <sheetFormatPr defaultRowHeight="15"/>
  <cols>
    <col min="1" max="1" width="18.140625" style="1" customWidth="1"/>
    <col min="2" max="2" width="15" style="2" customWidth="1"/>
    <col min="3" max="3" width="12.5703125" style="3" customWidth="1"/>
    <col min="4" max="4" width="14.42578125" customWidth="1"/>
    <col min="5" max="5" width="14.5703125" customWidth="1"/>
    <col min="6" max="6" width="14.140625" customWidth="1"/>
    <col min="7" max="7" width="14.5703125" customWidth="1"/>
    <col min="8" max="8" width="12.85546875" customWidth="1"/>
    <col min="9" max="9" width="13.7109375" customWidth="1"/>
  </cols>
  <sheetData>
    <row r="1" spans="1:9">
      <c r="A1" s="1" t="s">
        <v>14</v>
      </c>
      <c r="B1" s="2" t="s">
        <v>15</v>
      </c>
      <c r="C1" s="3" t="s">
        <v>16</v>
      </c>
      <c r="D1" s="4" t="s">
        <v>7</v>
      </c>
      <c r="E1" s="5" t="s">
        <v>17</v>
      </c>
      <c r="F1" t="s">
        <v>18</v>
      </c>
      <c r="G1" t="s">
        <v>19</v>
      </c>
      <c r="H1" t="s">
        <v>20</v>
      </c>
      <c r="I1" t="s">
        <v>1</v>
      </c>
    </row>
    <row r="2" spans="1:9">
      <c r="A2" s="1">
        <v>1</v>
      </c>
      <c r="B2" s="2" t="s">
        <v>21</v>
      </c>
      <c r="C2" s="3" t="s">
        <v>22</v>
      </c>
      <c r="D2" s="4" t="s">
        <v>11</v>
      </c>
      <c r="E2" s="5" t="s">
        <v>23</v>
      </c>
      <c r="F2">
        <v>800000</v>
      </c>
      <c r="G2">
        <v>24000</v>
      </c>
      <c r="H2">
        <v>0</v>
      </c>
      <c r="I2" t="s">
        <v>4</v>
      </c>
    </row>
    <row r="3" spans="1:9">
      <c r="A3" s="1">
        <v>1</v>
      </c>
      <c r="B3" s="2" t="s">
        <v>21</v>
      </c>
      <c r="C3" s="3" t="s">
        <v>22</v>
      </c>
      <c r="D3" s="4" t="s">
        <v>11</v>
      </c>
      <c r="E3" s="5" t="s">
        <v>23</v>
      </c>
      <c r="F3">
        <v>800000</v>
      </c>
      <c r="G3">
        <v>24000</v>
      </c>
      <c r="H3">
        <v>0</v>
      </c>
      <c r="I3" t="s">
        <v>4</v>
      </c>
    </row>
    <row r="4" spans="1:9">
      <c r="A4" s="1">
        <v>2</v>
      </c>
      <c r="B4" s="2" t="s">
        <v>24</v>
      </c>
      <c r="C4" s="3" t="s">
        <v>25</v>
      </c>
      <c r="D4" s="4" t="s">
        <v>10</v>
      </c>
      <c r="E4" s="5" t="s">
        <v>26</v>
      </c>
      <c r="F4">
        <v>60000</v>
      </c>
      <c r="G4">
        <v>7000</v>
      </c>
      <c r="H4">
        <v>0</v>
      </c>
      <c r="I4" t="s">
        <v>4</v>
      </c>
    </row>
    <row r="5" spans="1:9">
      <c r="A5" s="1">
        <v>2</v>
      </c>
      <c r="B5" s="2" t="s">
        <v>24</v>
      </c>
      <c r="C5" s="3" t="s">
        <v>25</v>
      </c>
      <c r="D5" s="4" t="s">
        <v>10</v>
      </c>
      <c r="E5" s="5" t="s">
        <v>26</v>
      </c>
      <c r="F5">
        <v>60000</v>
      </c>
      <c r="G5">
        <v>7000</v>
      </c>
      <c r="H5">
        <v>0</v>
      </c>
      <c r="I5" t="s">
        <v>4</v>
      </c>
    </row>
    <row r="6" spans="1:9">
      <c r="A6" s="1">
        <v>3</v>
      </c>
      <c r="B6" s="2" t="s">
        <v>27</v>
      </c>
      <c r="C6" s="3" t="s">
        <v>28</v>
      </c>
      <c r="D6" s="4" t="s">
        <v>12</v>
      </c>
      <c r="E6" s="5" t="s">
        <v>26</v>
      </c>
      <c r="F6">
        <v>40000</v>
      </c>
      <c r="G6">
        <v>4666</v>
      </c>
      <c r="H6">
        <v>8</v>
      </c>
      <c r="I6" t="s">
        <v>3</v>
      </c>
    </row>
    <row r="7" spans="1:9">
      <c r="A7" s="1">
        <v>3</v>
      </c>
      <c r="B7" s="2" t="s">
        <v>27</v>
      </c>
      <c r="C7" s="3" t="s">
        <v>28</v>
      </c>
      <c r="D7" s="4" t="s">
        <v>12</v>
      </c>
      <c r="E7" s="5" t="s">
        <v>26</v>
      </c>
      <c r="F7">
        <v>40000</v>
      </c>
      <c r="G7">
        <v>4666</v>
      </c>
      <c r="H7">
        <v>15</v>
      </c>
      <c r="I7" t="s">
        <v>3</v>
      </c>
    </row>
    <row r="8" spans="1:9">
      <c r="A8" s="1">
        <v>4</v>
      </c>
      <c r="B8" s="2" t="s">
        <v>29</v>
      </c>
      <c r="C8" s="3" t="s">
        <v>30</v>
      </c>
      <c r="D8" s="4" t="s">
        <v>11</v>
      </c>
      <c r="E8" s="5" t="s">
        <v>31</v>
      </c>
      <c r="F8">
        <v>350000</v>
      </c>
      <c r="G8">
        <v>14583</v>
      </c>
      <c r="H8">
        <v>0</v>
      </c>
      <c r="I8" t="s">
        <v>4</v>
      </c>
    </row>
    <row r="9" spans="1:9">
      <c r="A9" s="1">
        <v>4</v>
      </c>
      <c r="B9" s="2" t="s">
        <v>29</v>
      </c>
      <c r="C9" s="3" t="s">
        <v>30</v>
      </c>
      <c r="D9" s="4" t="s">
        <v>11</v>
      </c>
      <c r="E9" s="5" t="s">
        <v>31</v>
      </c>
      <c r="F9">
        <v>350000</v>
      </c>
      <c r="G9">
        <v>14583</v>
      </c>
      <c r="H9">
        <v>0</v>
      </c>
      <c r="I9" t="s">
        <v>4</v>
      </c>
    </row>
    <row r="10" spans="1:9">
      <c r="A10" s="1">
        <v>5</v>
      </c>
      <c r="B10" s="2" t="s">
        <v>32</v>
      </c>
      <c r="C10" s="3" t="s">
        <v>33</v>
      </c>
      <c r="D10" s="4" t="s">
        <v>8</v>
      </c>
      <c r="E10" s="5" t="s">
        <v>34</v>
      </c>
      <c r="F10">
        <v>500000</v>
      </c>
      <c r="G10">
        <v>31250</v>
      </c>
      <c r="H10">
        <v>5</v>
      </c>
      <c r="I10" t="s">
        <v>3</v>
      </c>
    </row>
    <row r="11" spans="1:9">
      <c r="A11" s="1">
        <v>5</v>
      </c>
      <c r="B11" s="2" t="s">
        <v>32</v>
      </c>
      <c r="C11" s="3" t="s">
        <v>33</v>
      </c>
      <c r="D11" s="4" t="s">
        <v>8</v>
      </c>
      <c r="E11" s="5" t="s">
        <v>34</v>
      </c>
      <c r="F11">
        <v>500000</v>
      </c>
      <c r="G11">
        <v>31250</v>
      </c>
      <c r="H11">
        <v>95</v>
      </c>
      <c r="I11" t="s">
        <v>5</v>
      </c>
    </row>
    <row r="12" spans="1:9">
      <c r="A12" s="1">
        <v>7</v>
      </c>
      <c r="B12" s="2" t="s">
        <v>35</v>
      </c>
      <c r="C12" s="3" t="s">
        <v>36</v>
      </c>
      <c r="D12" s="4" t="s">
        <v>9</v>
      </c>
      <c r="E12" s="5" t="s">
        <v>26</v>
      </c>
      <c r="F12">
        <v>30000</v>
      </c>
      <c r="G12">
        <v>3500</v>
      </c>
      <c r="H12">
        <v>0</v>
      </c>
      <c r="I12" t="s">
        <v>4</v>
      </c>
    </row>
    <row r="13" spans="1:9">
      <c r="A13" s="1">
        <v>7</v>
      </c>
      <c r="B13" s="2" t="s">
        <v>35</v>
      </c>
      <c r="C13" s="3" t="s">
        <v>36</v>
      </c>
      <c r="D13" s="4" t="s">
        <v>9</v>
      </c>
      <c r="E13" s="5" t="s">
        <v>26</v>
      </c>
      <c r="F13">
        <v>30000</v>
      </c>
      <c r="G13">
        <v>3500</v>
      </c>
      <c r="H13">
        <v>110</v>
      </c>
      <c r="I13" t="s">
        <v>5</v>
      </c>
    </row>
    <row r="14" spans="1:9">
      <c r="A14" s="1">
        <v>8</v>
      </c>
      <c r="B14" s="2" t="s">
        <v>37</v>
      </c>
      <c r="C14" s="3" t="s">
        <v>38</v>
      </c>
      <c r="D14" s="4" t="s">
        <v>10</v>
      </c>
      <c r="E14" s="5" t="s">
        <v>26</v>
      </c>
      <c r="F14">
        <v>75000</v>
      </c>
      <c r="G14">
        <v>8750</v>
      </c>
      <c r="H14">
        <v>0</v>
      </c>
      <c r="I14" t="s">
        <v>4</v>
      </c>
    </row>
  </sheetData>
  <autoFilter ref="F1:G14" xr:uid="{B80278EC-5E51-4076-B283-2F9062A159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2026-09-18T22:02:06Z</dcterms:created>
  <dcterms:modified xsi:type="dcterms:W3CDTF">2026-09-18T23:09:53Z</dcterms:modified>
  <cp:category/>
  <cp:contentStatus/>
</cp:coreProperties>
</file>